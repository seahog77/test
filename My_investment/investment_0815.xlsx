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8" fontId="0" fillId="22" borderId="16" pivotButton="0" quotePrefix="0" xfId="0"/>
    <xf numFmtId="176" fontId="0" fillId="22" borderId="16" pivotButton="0" quotePrefix="0" xfId="0"/>
    <xf numFmtId="178" fontId="0" fillId="25" borderId="16" pivotButton="0" quotePrefix="0" xfId="0"/>
    <xf numFmtId="176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￦1,407</t>
        </is>
      </c>
      <c r="J5" s="73" t="n">
        <v>1407.48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11315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11337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10195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11500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13905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11185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7357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4075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27425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14960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11315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14110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22430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12145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31535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26830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11780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11315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14960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18445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8110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132100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15255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6780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13080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194000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9840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10925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10555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251250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251250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19440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336.8699951171875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62.20999908447266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44.11999893188477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310.0299987792969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20200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169400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90.65000152587891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164500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8070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71500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143.3399963378906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172.3300018310547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219.7400054931641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34.5099983215332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481.6300048828125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182.75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45.70999908447266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171.5399932861328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79.16000366210938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9.869999885559082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40.06000137329102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413.4100036621094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146.2299957275391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175.6999969482422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142.7899932861328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7.650000095367432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106.0100021362305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8.640000343322754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18330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41.36000061035156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15475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183615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30940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22430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205.7400054931641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165.5599975585938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115.1999969482422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6" t="n">
        <v>17</v>
      </c>
      <c r="B36" s="296">
        <f>IFERROR(INDEX('계좌현황'!A:A,INDEX($L$20:$L$95,MATCH(LARGE($N$20:$N$95,17),$N$20:$N$95,0))),"")</f>
        <v/>
      </c>
      <c r="C36" s="296">
        <f>IFERROR(INDEX('계좌현황'!C:C,INDEX($L$20:$L$95,MATCH(LARGE($N$20:$N$95,17),$N$20:$N$95,0))),"")</f>
        <v/>
      </c>
      <c r="D36" s="296">
        <f>IFERROR(INDEX('계좌현황'!D:D,INDEX($L$20:$L$95,MATCH(LARGE($N$20:$N$95,17),$N$20:$N$95,0))),"")</f>
        <v/>
      </c>
      <c r="E36" s="296">
        <f>IFERROR(INDEX('계좌현황'!E:E,INDEX($L$20:$L$95,MATCH(LARGE($N$20:$N$95,17),$N$20:$N$95,0))),"")</f>
        <v/>
      </c>
      <c r="F36" s="320">
        <f>IFERROR(INDEX('계좌현황'!F:F,INDEX($L$20:$L$95,MATCH(LARGE($N$20:$N$95,17),$N$20:$N$95,0))),"")</f>
        <v/>
      </c>
      <c r="G36" s="321">
        <f>IFERROR(INDEX('계좌현황'!K:K,INDEX($L$20:$L$95,MATCH(LARGE($N$20:$N$95,17),$N$20:$N$95,0))),0)</f>
        <v/>
      </c>
      <c r="H36" s="322">
        <f>IF($B$3=0,0,G36/$B$3)</f>
        <v/>
      </c>
      <c r="I36" s="322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0" t="n">
        <v>18</v>
      </c>
      <c r="B37" s="290">
        <f>IFERROR(INDEX('계좌현황'!A:A,INDEX($L$20:$L$95,MATCH(LARGE($N$20:$N$95,18),$N$20:$N$95,0))),"")</f>
        <v/>
      </c>
      <c r="C37" s="290">
        <f>IFERROR(INDEX('계좌현황'!C:C,INDEX($L$20:$L$95,MATCH(LARGE($N$20:$N$95,18),$N$20:$N$95,0))),"")</f>
        <v/>
      </c>
      <c r="D37" s="290">
        <f>IFERROR(INDEX('계좌현황'!D:D,INDEX($L$20:$L$95,MATCH(LARGE($N$20:$N$95,18),$N$20:$N$95,0))),"")</f>
        <v/>
      </c>
      <c r="E37" s="290">
        <f>IFERROR(INDEX('계좌현황'!E:E,INDEX($L$20:$L$95,MATCH(LARGE($N$20:$N$95,18),$N$20:$N$95,0))),"")</f>
        <v/>
      </c>
      <c r="F37" s="317">
        <f>IFERROR(INDEX('계좌현황'!F:F,INDEX($L$20:$L$95,MATCH(LARGE($N$20:$N$95,18),$N$20:$N$95,0))),"")</f>
        <v/>
      </c>
      <c r="G37" s="318">
        <f>IFERROR(INDEX('계좌현황'!K:K,INDEX($L$20:$L$95,MATCH(LARGE($N$20:$N$95,18),$N$20:$N$95,0))),0)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4" t="n">
        <v>20</v>
      </c>
      <c r="B39" s="284">
        <f>IFERROR(INDEX('계좌현황'!A:A,INDEX($L$20:$L$95,MATCH(LARGE($N$20:$N$95,20),$N$20:$N$95,0))),"")</f>
        <v/>
      </c>
      <c r="C39" s="284">
        <f>IFERROR(INDEX('계좌현황'!C:C,INDEX($L$20:$L$95,MATCH(LARGE($N$20:$N$95,20),$N$20:$N$95,0))),"")</f>
        <v/>
      </c>
      <c r="D39" s="284">
        <f>IFERROR(INDEX('계좌현황'!D:D,INDEX($L$20:$L$95,MATCH(LARGE($N$20:$N$95,20),$N$20:$N$95,0))),"")</f>
        <v/>
      </c>
      <c r="E39" s="284">
        <f>IFERROR(INDEX('계좌현황'!E:E,INDEX($L$20:$L$95,MATCH(LARGE($N$20:$N$95,20),$N$20:$N$95,0))),"")</f>
        <v/>
      </c>
      <c r="F39" s="323">
        <f>IFERROR(INDEX('계좌현황'!F:F,INDEX($L$20:$L$95,MATCH(LARGE($N$20:$N$95,20),$N$20:$N$95,0))),"")</f>
        <v/>
      </c>
      <c r="G39" s="324">
        <f>IFERROR(INDEX('계좌현황'!K:K,INDEX($L$20:$L$95,MATCH(LARGE($N$20:$N$95,20),$N$20:$N$95,0))),0)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78" t="n">
        <v>21</v>
      </c>
      <c r="B40" s="278">
        <f>IFERROR(INDEX('계좌현황'!A:A,INDEX($L$20:$L$95,MATCH(LARGE($N$20:$N$95,21),$N$20:$N$95,0))),"")</f>
        <v/>
      </c>
      <c r="C40" s="278">
        <f>IFERROR(INDEX('계좌현황'!C:C,INDEX($L$20:$L$95,MATCH(LARGE($N$20:$N$95,21),$N$20:$N$95,0))),"")</f>
        <v/>
      </c>
      <c r="D40" s="278">
        <f>IFERROR(INDEX('계좌현황'!D:D,INDEX($L$20:$L$95,MATCH(LARGE($N$20:$N$95,21),$N$20:$N$95,0))),"")</f>
        <v/>
      </c>
      <c r="E40" s="278">
        <f>IFERROR(INDEX('계좌현황'!E:E,INDEX($L$20:$L$95,MATCH(LARGE($N$20:$N$95,21),$N$20:$N$95,0))),"")</f>
        <v/>
      </c>
      <c r="F40" s="308">
        <f>IFERROR(INDEX('계좌현황'!F:F,INDEX($L$20:$L$95,MATCH(LARGE($N$20:$N$95,21),$N$20:$N$95,0))),"")</f>
        <v/>
      </c>
      <c r="G40" s="309">
        <f>IFERROR(INDEX('계좌현황'!K:K,INDEX($L$20:$L$95,MATCH(LARGE($N$20:$N$95,21),$N$20:$N$95,0))),0)</f>
        <v/>
      </c>
      <c r="H40" s="310">
        <f>IF($B$3=0,0,G40/$B$3)</f>
        <v/>
      </c>
      <c r="I40" s="31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6" t="n">
        <v>22</v>
      </c>
      <c r="B41" s="296">
        <f>IFERROR(INDEX('계좌현황'!A:A,INDEX($L$20:$L$95,MATCH(LARGE($N$20:$N$95,22),$N$20:$N$95,0))),"")</f>
        <v/>
      </c>
      <c r="C41" s="296">
        <f>IFERROR(INDEX('계좌현황'!C:C,INDEX($L$20:$L$95,MATCH(LARGE($N$20:$N$95,22),$N$20:$N$95,0))),"")</f>
        <v/>
      </c>
      <c r="D41" s="296">
        <f>IFERROR(INDEX('계좌현황'!D:D,INDEX($L$20:$L$95,MATCH(LARGE($N$20:$N$95,22),$N$20:$N$95,0))),"")</f>
        <v/>
      </c>
      <c r="E41" s="296">
        <f>IFERROR(INDEX('계좌현황'!E:E,INDEX($L$20:$L$95,MATCH(LARGE($N$20:$N$95,22),$N$20:$N$95,0))),"")</f>
        <v/>
      </c>
      <c r="F41" s="320">
        <f>IFERROR(INDEX('계좌현황'!F:F,INDEX($L$20:$L$95,MATCH(LARGE($N$20:$N$95,22),$N$20:$N$95,0))),"")</f>
        <v/>
      </c>
      <c r="G41" s="321">
        <f>IFERROR(INDEX('계좌현황'!K:K,INDEX($L$20:$L$95,MATCH(LARGE($N$20:$N$95,22),$N$20:$N$95,0))),0)</f>
        <v/>
      </c>
      <c r="H41" s="322">
        <f>IF($B$3=0,0,G41/$B$3)</f>
        <v/>
      </c>
      <c r="I41" s="322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0" t="n">
        <v>23</v>
      </c>
      <c r="B42" s="290">
        <f>IFERROR(INDEX('계좌현황'!A:A,INDEX($L$20:$L$95,MATCH(LARGE($N$20:$N$95,23),$N$20:$N$95,0))),"")</f>
        <v/>
      </c>
      <c r="C42" s="290">
        <f>IFERROR(INDEX('계좌현황'!C:C,INDEX($L$20:$L$95,MATCH(LARGE($N$20:$N$95,23),$N$20:$N$95,0))),"")</f>
        <v/>
      </c>
      <c r="D42" s="290">
        <f>IFERROR(INDEX('계좌현황'!D:D,INDEX($L$20:$L$95,MATCH(LARGE($N$20:$N$95,23),$N$20:$N$95,0))),"")</f>
        <v/>
      </c>
      <c r="E42" s="290">
        <f>IFERROR(INDEX('계좌현황'!E:E,INDEX($L$20:$L$95,MATCH(LARGE($N$20:$N$95,23),$N$20:$N$95,0))),"")</f>
        <v/>
      </c>
      <c r="F42" s="317">
        <f>IFERROR(INDEX('계좌현황'!F:F,INDEX($L$20:$L$95,MATCH(LARGE($N$20:$N$95,23),$N$20:$N$95,0))),"")</f>
        <v/>
      </c>
      <c r="G42" s="318">
        <f>IFERROR(INDEX('계좌현황'!K:K,INDEX($L$20:$L$95,MATCH(LARGE($N$20:$N$95,23),$N$20:$N$95,0))),0)</f>
        <v/>
      </c>
      <c r="H42" s="319">
        <f>IF($B$3=0,0,G42/$B$3)</f>
        <v/>
      </c>
      <c r="I42" s="319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IFERROR(INDEX('계좌현황'!A:A,INDEX($L$20:$L$95,MATCH(LARGE($N$20:$N$95,43),$N$20:$N$95,0))),"")</f>
        <v/>
      </c>
      <c r="C62" s="287">
        <f>IFERROR(INDEX('계좌현황'!C:C,INDEX($L$20:$L$95,MATCH(LARGE($N$20:$N$95,43),$N$20:$N$95,0))),"")</f>
        <v/>
      </c>
      <c r="D62" s="287">
        <f>IFERROR(INDEX('계좌현황'!D:D,INDEX($L$20:$L$95,MATCH(LARGE($N$20:$N$95,43),$N$20:$N$95,0))),"")</f>
        <v/>
      </c>
      <c r="E62" s="287">
        <f>IFERROR(INDEX('계좌현황'!E:E,INDEX($L$20:$L$95,MATCH(LARGE($N$20:$N$95,43),$N$20:$N$95,0))),"")</f>
        <v/>
      </c>
      <c r="F62" s="314">
        <f>IFERROR(INDEX('계좌현황'!F:F,INDEX($L$20:$L$95,MATCH(LARGE($N$20:$N$95,43),$N$20:$N$95,0))),"")</f>
        <v/>
      </c>
      <c r="G62" s="315">
        <f>IFERROR(INDEX('계좌현황'!K:K,INDEX($L$20:$L$95,MATCH(LARGE($N$20:$N$95,43),$N$20:$N$95,0))),0)</f>
        <v/>
      </c>
      <c r="H62" s="316">
        <f>IF($B$3=0,0,G62/$B$3)</f>
        <v/>
      </c>
      <c r="I62" s="316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0" t="n">
        <v>44</v>
      </c>
      <c r="B63" s="290">
        <f>IFERROR(INDEX('계좌현황'!A:A,INDEX($L$20:$L$95,MATCH(LARGE($N$20:$N$95,44),$N$20:$N$95,0))),"")</f>
        <v/>
      </c>
      <c r="C63" s="290">
        <f>IFERROR(INDEX('계좌현황'!C:C,INDEX($L$20:$L$95,MATCH(LARGE($N$20:$N$95,44),$N$20:$N$95,0))),"")</f>
        <v/>
      </c>
      <c r="D63" s="290">
        <f>IFERROR(INDEX('계좌현황'!D:D,INDEX($L$20:$L$95,MATCH(LARGE($N$20:$N$95,44),$N$20:$N$95,0))),"")</f>
        <v/>
      </c>
      <c r="E63" s="290">
        <f>IFERROR(INDEX('계좌현황'!E:E,INDEX($L$20:$L$95,MATCH(LARGE($N$20:$N$95,44),$N$20:$N$95,0))),"")</f>
        <v/>
      </c>
      <c r="F63" s="317">
        <f>IFERROR(INDEX('계좌현황'!F:F,INDEX($L$20:$L$95,MATCH(LARGE($N$20:$N$95,44),$N$20:$N$95,0))),"")</f>
        <v/>
      </c>
      <c r="G63" s="318">
        <f>IFERROR(INDEX('계좌현황'!K:K,INDEX($L$20:$L$95,MATCH(LARGE($N$20:$N$95,44),$N$20:$N$95,0))),0)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1,407원/$  | 연간 합계 52,157,009원 · 월평균 4,346,417원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4083886.17</v>
      </c>
      <c r="C7" s="279" t="n">
        <v>0</v>
      </c>
      <c r="D7" s="279" t="n">
        <v>4083886.17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4211082.199999999</v>
      </c>
      <c r="C8" s="279" t="n">
        <v>0</v>
      </c>
      <c r="D8" s="279" t="n">
        <v>4211082.199999999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4590062.784</v>
      </c>
      <c r="C9" s="282" t="n">
        <v>35408</v>
      </c>
      <c r="D9" s="282" t="n">
        <v>4625470.784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4200320.391</v>
      </c>
      <c r="C10" s="282" t="n">
        <v>5104</v>
      </c>
      <c r="D10" s="282" t="n">
        <v>4205424.391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4283559.401</v>
      </c>
      <c r="C11" s="279" t="n">
        <v>0</v>
      </c>
      <c r="D11" s="279" t="n">
        <v>4283559.401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4316667.641000001</v>
      </c>
      <c r="C12" s="282" t="n">
        <v>35492</v>
      </c>
      <c r="D12" s="282" t="n">
        <v>4352159.641000001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4336408.741</v>
      </c>
      <c r="C13" s="279" t="n">
        <v>0</v>
      </c>
      <c r="D13" s="279" t="n">
        <v>4336408.741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1406143.695</v>
      </c>
      <c r="C14" s="282" t="n">
        <v>2800729.056</v>
      </c>
      <c r="D14" s="282" t="n">
        <v>4206872.751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4203336.507</v>
      </c>
      <c r="D15" s="288" t="n">
        <v>4203336.507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4072015.028</v>
      </c>
      <c r="D16" s="288" t="n">
        <v>4072015.028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4359747.672</v>
      </c>
      <c r="D17" s="288" t="n">
        <v>4359747.672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5217046.028899999</v>
      </c>
      <c r="D18" s="288" t="n">
        <v>5217046.028899999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0.0977</v>
      </c>
      <c r="F24" s="303" t="n">
        <v>173719195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0.1018</v>
      </c>
      <c r="F25" s="303" t="n">
        <v>68217600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0.1645</v>
      </c>
      <c r="F26" s="303" t="n">
        <v>27335500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0.1511</v>
      </c>
      <c r="F27" s="303" t="n">
        <v>26222280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0.1147</v>
      </c>
      <c r="F28" s="303" t="n">
        <v>30585000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0.1373</v>
      </c>
      <c r="F29" s="303" t="n">
        <v>22512420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0.09300000000000001</v>
      </c>
      <c r="F30" s="303" t="n">
        <v>20375000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0.1537</v>
      </c>
      <c r="F31" s="303" t="n">
        <v>11877840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0.06809999999999999</v>
      </c>
      <c r="F32" s="303" t="n">
        <v>22370000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0.0298</v>
      </c>
      <c r="F33" s="303" t="n">
        <v>43318677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0.1138</v>
      </c>
      <c r="F34" s="303" t="n">
        <v>10135920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0.13</v>
      </c>
      <c r="F35" s="303" t="n">
        <v>7785600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0.0209</v>
      </c>
      <c r="F36" s="303" t="n">
        <v>27406755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0.0293</v>
      </c>
      <c r="F37" s="303" t="n">
        <v>18766300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0.09720000000000001</v>
      </c>
      <c r="F38" s="303" t="n">
        <v>5161625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39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1407</v>
      </c>
      <c r="H44" s="278" t="inlineStr">
        <is>
          <t>실적</t>
        </is>
      </c>
    </row>
    <row r="45">
      <c r="A45" s="339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39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39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39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39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39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39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39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39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39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39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39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39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39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39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39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39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39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39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39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39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39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39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20134.17</v>
      </c>
      <c r="H67" s="278" t="inlineStr">
        <is>
          <t>실적</t>
        </is>
      </c>
    </row>
    <row r="68">
      <c r="A68" s="339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3292.38</v>
      </c>
      <c r="H68" s="278" t="inlineStr">
        <is>
          <t>실적</t>
        </is>
      </c>
    </row>
    <row r="69">
      <c r="A69" s="339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39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39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39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39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39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1449.21</v>
      </c>
      <c r="H74" s="278" t="inlineStr">
        <is>
          <t>실적</t>
        </is>
      </c>
    </row>
    <row r="75">
      <c r="A75" s="339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1744.68</v>
      </c>
      <c r="H75" s="278" t="inlineStr">
        <is>
          <t>실적</t>
        </is>
      </c>
    </row>
    <row r="76">
      <c r="A76" s="339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2504.46</v>
      </c>
      <c r="H76" s="278" t="inlineStr">
        <is>
          <t>실적</t>
        </is>
      </c>
    </row>
    <row r="77">
      <c r="A77" s="339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2560.74</v>
      </c>
      <c r="H77" s="278" t="inlineStr">
        <is>
          <t>실적</t>
        </is>
      </c>
    </row>
    <row r="78">
      <c r="A78" s="339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39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39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39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39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39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39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39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39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39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39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39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39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39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39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20134.17</v>
      </c>
      <c r="H92" s="278" t="inlineStr">
        <is>
          <t>실적</t>
        </is>
      </c>
    </row>
    <row r="93">
      <c r="A93" s="339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5740.56</v>
      </c>
      <c r="H93" s="278" t="inlineStr">
        <is>
          <t>실적</t>
        </is>
      </c>
    </row>
    <row r="94">
      <c r="A94" s="339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5768.7</v>
      </c>
      <c r="H94" s="278" t="inlineStr">
        <is>
          <t>실적</t>
        </is>
      </c>
    </row>
    <row r="95">
      <c r="A95" s="339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39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39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39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39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39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39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1345.092</v>
      </c>
      <c r="H101" s="278" t="inlineStr">
        <is>
          <t>실적</t>
        </is>
      </c>
    </row>
    <row r="102">
      <c r="A102" s="339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39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8678.376</v>
      </c>
      <c r="H103" s="278" t="inlineStr">
        <is>
          <t>실적</t>
        </is>
      </c>
    </row>
    <row r="104">
      <c r="A104" s="341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1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39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39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39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39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39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39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39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39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39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39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39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39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39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39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39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26908.875</v>
      </c>
      <c r="H120" s="278" t="inlineStr">
        <is>
          <t>실적</t>
        </is>
      </c>
    </row>
    <row r="121">
      <c r="A121" s="339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20208.741</v>
      </c>
      <c r="H121" s="278" t="inlineStr">
        <is>
          <t>실적</t>
        </is>
      </c>
    </row>
    <row r="122">
      <c r="A122" s="339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39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1407</v>
      </c>
      <c r="H123" s="278" t="inlineStr">
        <is>
          <t>실적</t>
        </is>
      </c>
    </row>
    <row r="124">
      <c r="A124" s="339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39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39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39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39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39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12592.65</v>
      </c>
      <c r="H129" s="278" t="inlineStr">
        <is>
          <t>실적</t>
        </is>
      </c>
    </row>
    <row r="130">
      <c r="A130" s="339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39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39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1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39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39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39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39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39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39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39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39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39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39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39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39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39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39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39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20208.741</v>
      </c>
      <c r="H148" s="278" t="inlineStr">
        <is>
          <t>실적</t>
        </is>
      </c>
    </row>
    <row r="149">
      <c r="A149" s="339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39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3419.01</v>
      </c>
      <c r="H150" s="278" t="inlineStr">
        <is>
          <t>실적</t>
        </is>
      </c>
    </row>
    <row r="151">
      <c r="A151" s="339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39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39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39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39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39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1744.68</v>
      </c>
      <c r="H156" s="278" t="inlineStr">
        <is>
          <t>실적</t>
        </is>
      </c>
    </row>
    <row r="157">
      <c r="A157" s="339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1449.21</v>
      </c>
      <c r="H157" s="278" t="inlineStr">
        <is>
          <t>실적</t>
        </is>
      </c>
    </row>
    <row r="158">
      <c r="A158" s="339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2504.46</v>
      </c>
      <c r="H158" s="278" t="inlineStr">
        <is>
          <t>실적</t>
        </is>
      </c>
    </row>
    <row r="159">
      <c r="A159" s="339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2560.74</v>
      </c>
      <c r="H159" s="278" t="inlineStr">
        <is>
          <t>실적</t>
        </is>
      </c>
    </row>
    <row r="160">
      <c r="A160" s="339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39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39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39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39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39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39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39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39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39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39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39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39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39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20208.741</v>
      </c>
      <c r="H173" s="278" t="inlineStr">
        <is>
          <t>실적</t>
        </is>
      </c>
    </row>
    <row r="174">
      <c r="A174" s="339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5740.56</v>
      </c>
      <c r="H174" s="278" t="inlineStr">
        <is>
          <t>실적</t>
        </is>
      </c>
    </row>
    <row r="175">
      <c r="A175" s="339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5768.7</v>
      </c>
      <c r="H175" s="278" t="inlineStr">
        <is>
          <t>실적</t>
        </is>
      </c>
    </row>
    <row r="176">
      <c r="A176" s="339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1407</v>
      </c>
      <c r="H176" s="278" t="inlineStr">
        <is>
          <t>실적</t>
        </is>
      </c>
    </row>
    <row r="177">
      <c r="A177" s="339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1343.685</v>
      </c>
      <c r="H177" s="278" t="inlineStr">
        <is>
          <t>실적</t>
        </is>
      </c>
    </row>
    <row r="178">
      <c r="A178" s="339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39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39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39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39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39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12592.65</v>
      </c>
      <c r="H183" s="278" t="inlineStr">
        <is>
          <t>실적</t>
        </is>
      </c>
    </row>
    <row r="184">
      <c r="A184" s="339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3690.561</v>
      </c>
      <c r="H184" s="278" t="inlineStr">
        <is>
          <t>실적</t>
        </is>
      </c>
    </row>
    <row r="185">
      <c r="A185" s="339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8543.304</v>
      </c>
      <c r="H185" s="278" t="inlineStr">
        <is>
          <t>실적</t>
        </is>
      </c>
    </row>
    <row r="186">
      <c r="A186" s="341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1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39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39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39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39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39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39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39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39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39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39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39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39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39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39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20208.741</v>
      </c>
      <c r="H201" s="278" t="inlineStr">
        <is>
          <t>실적</t>
        </is>
      </c>
    </row>
    <row r="202">
      <c r="A202" s="339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1407</v>
      </c>
      <c r="H202" s="278" t="inlineStr">
        <is>
          <t>실적</t>
        </is>
      </c>
    </row>
    <row r="203">
      <c r="A203" s="339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39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39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39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39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39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39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39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39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39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39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39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39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39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39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39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39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39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39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39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39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39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39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39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39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20208.741</v>
      </c>
      <c r="H227" s="278" t="inlineStr">
        <is>
          <t>실적</t>
        </is>
      </c>
    </row>
    <row r="228">
      <c r="A228" s="341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19835.886</v>
      </c>
      <c r="H228" s="287" t="inlineStr">
        <is>
          <t>예측</t>
        </is>
      </c>
    </row>
    <row r="229">
      <c r="A229" s="339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39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3419.01</v>
      </c>
      <c r="H230" s="278" t="inlineStr">
        <is>
          <t>실적</t>
        </is>
      </c>
    </row>
    <row r="231">
      <c r="A231" s="339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39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39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39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39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39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1744.68</v>
      </c>
      <c r="H236" s="278" t="inlineStr">
        <is>
          <t>실적</t>
        </is>
      </c>
    </row>
    <row r="237">
      <c r="A237" s="339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12219.795</v>
      </c>
      <c r="H237" s="278" t="inlineStr">
        <is>
          <t>실적</t>
        </is>
      </c>
    </row>
    <row r="238">
      <c r="A238" s="339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1449.21</v>
      </c>
      <c r="H238" s="278" t="inlineStr">
        <is>
          <t>실적</t>
        </is>
      </c>
    </row>
    <row r="239">
      <c r="A239" s="341" t="n">
        <v>46252</v>
      </c>
      <c r="B239" s="287" t="n">
        <v>8</v>
      </c>
      <c r="C239" s="287" t="inlineStr">
        <is>
          <t>MSFT</t>
        </is>
      </c>
      <c r="D239" s="287" t="inlineStr">
        <is>
          <t>마이크로소프트</t>
        </is>
      </c>
      <c r="E239" s="288" t="n"/>
      <c r="F239" s="342" t="n">
        <v>1.58</v>
      </c>
      <c r="G239" s="288" t="n">
        <v>2223.06</v>
      </c>
      <c r="H239" s="287" t="inlineStr">
        <is>
          <t>예측</t>
        </is>
      </c>
    </row>
    <row r="240">
      <c r="A240" s="341" t="n">
        <v>46253</v>
      </c>
      <c r="B240" s="287" t="n">
        <v>8</v>
      </c>
      <c r="C240" s="287" t="inlineStr">
        <is>
          <t>CVX</t>
        </is>
      </c>
      <c r="D240" s="287" t="inlineStr">
        <is>
          <t>셰브론</t>
        </is>
      </c>
      <c r="E240" s="288" t="n"/>
      <c r="F240" s="342" t="n">
        <v>1.67</v>
      </c>
      <c r="G240" s="288" t="n">
        <v>2349.69</v>
      </c>
      <c r="H240" s="287" t="inlineStr">
        <is>
          <t>예측</t>
        </is>
      </c>
    </row>
    <row r="241">
      <c r="A241" s="341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1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1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1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1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1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1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1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1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1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1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1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1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1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4305.42</v>
      </c>
      <c r="H254" s="287" t="inlineStr">
        <is>
          <t>예측</t>
        </is>
      </c>
    </row>
    <row r="255">
      <c r="A255" s="341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1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5416.95</v>
      </c>
      <c r="H256" s="287" t="inlineStr">
        <is>
          <t>예측</t>
        </is>
      </c>
    </row>
    <row r="257">
      <c r="A257" s="341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19835.886</v>
      </c>
      <c r="H257" s="287" t="inlineStr">
        <is>
          <t>예측</t>
        </is>
      </c>
    </row>
    <row r="258">
      <c r="A258" s="341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1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1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1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1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1018.668</v>
      </c>
      <c r="H262" s="287" t="inlineStr">
        <is>
          <t>예측</t>
        </is>
      </c>
    </row>
    <row r="263">
      <c r="A263" s="341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1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1391.523</v>
      </c>
      <c r="H264" s="287" t="inlineStr">
        <is>
          <t>예측</t>
        </is>
      </c>
    </row>
    <row r="265">
      <c r="A265" s="341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8638.98</v>
      </c>
      <c r="H265" s="287" t="inlineStr">
        <is>
          <t>예측</t>
        </is>
      </c>
    </row>
    <row r="266">
      <c r="A266" s="341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1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1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1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1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1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1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1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1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1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1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1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1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1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1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1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1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11959.5</v>
      </c>
      <c r="H282" s="287" t="inlineStr">
        <is>
          <t>예측</t>
        </is>
      </c>
    </row>
    <row r="283">
      <c r="A283" s="341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11396.7</v>
      </c>
      <c r="H283" s="287" t="inlineStr">
        <is>
          <t>예측</t>
        </is>
      </c>
    </row>
    <row r="284">
      <c r="A284" s="341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1266.3</v>
      </c>
      <c r="H284" s="287" t="inlineStr">
        <is>
          <t>예측</t>
        </is>
      </c>
    </row>
    <row r="285">
      <c r="A285" s="341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19985.028</v>
      </c>
      <c r="H285" s="287" t="inlineStr">
        <is>
          <t>예측</t>
        </is>
      </c>
    </row>
    <row r="286">
      <c r="A286" s="341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1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1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1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1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1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1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1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1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1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1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1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1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1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1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1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1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1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1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1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1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1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1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3229.065</v>
      </c>
      <c r="H308" s="287" t="inlineStr">
        <is>
          <t>예측</t>
        </is>
      </c>
    </row>
    <row r="309">
      <c r="A309" s="341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1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1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1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1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1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1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19910.457</v>
      </c>
      <c r="H315" s="287" t="inlineStr">
        <is>
          <t>예측</t>
        </is>
      </c>
    </row>
    <row r="316">
      <c r="A316" s="341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1730.61</v>
      </c>
      <c r="H316" s="287" t="inlineStr">
        <is>
          <t>예측</t>
        </is>
      </c>
    </row>
    <row r="317">
      <c r="A317" s="341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1421.07</v>
      </c>
      <c r="H317" s="287" t="inlineStr">
        <is>
          <t>예측</t>
        </is>
      </c>
    </row>
    <row r="318">
      <c r="A318" s="341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2349.69</v>
      </c>
      <c r="H318" s="287" t="inlineStr">
        <is>
          <t>예측</t>
        </is>
      </c>
    </row>
    <row r="319">
      <c r="A319" s="341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2448.18</v>
      </c>
      <c r="H319" s="287" t="inlineStr">
        <is>
          <t>예측</t>
        </is>
      </c>
    </row>
    <row r="320">
      <c r="A320" s="341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5346.599999999999</v>
      </c>
      <c r="H320" s="287" t="inlineStr">
        <is>
          <t>예측</t>
        </is>
      </c>
    </row>
    <row r="321">
      <c r="A321" s="341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1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1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1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1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1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1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1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1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1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1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1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1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1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1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1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5698.349999999999</v>
      </c>
      <c r="H336" s="287" t="inlineStr">
        <is>
          <t>예측</t>
        </is>
      </c>
    </row>
    <row r="337">
      <c r="A337" s="341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9168.012000000001</v>
      </c>
      <c r="H337" s="287" t="inlineStr">
        <is>
          <t>예측</t>
        </is>
      </c>
    </row>
    <row r="338">
      <c r="A338" s="341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1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1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1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1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1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1020.7785</v>
      </c>
      <c r="H343" s="287" t="inlineStr">
        <is>
          <t>예측</t>
        </is>
      </c>
    </row>
    <row r="344">
      <c r="A344" s="341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19910.457</v>
      </c>
      <c r="H344" s="287" t="inlineStr">
        <is>
          <t>예측</t>
        </is>
      </c>
    </row>
    <row r="345">
      <c r="A345" s="341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1618.3314</v>
      </c>
      <c r="H345" s="287" t="inlineStr">
        <is>
          <t>예측</t>
        </is>
      </c>
    </row>
    <row r="346">
      <c r="A346" s="341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1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1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1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1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1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1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1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1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1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1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1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1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1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11678.1</v>
      </c>
      <c r="H359" s="287" t="inlineStr">
        <is>
          <t>예측</t>
        </is>
      </c>
    </row>
    <row r="360">
      <c r="A360" s="341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1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1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1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1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2026-08-19T01:04:51Z</dcterms:modified>
  <cp:lastModifiedBy>Hyoyol Park</cp:lastModifiedBy>
</cp:coreProperties>
</file>